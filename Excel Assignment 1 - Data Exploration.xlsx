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deen/Downloads/"/>
    </mc:Choice>
  </mc:AlternateContent>
  <xr:revisionPtr revIDLastSave="0" documentId="8_{13CD7E36-27B4-944B-AF73-224E45D17E27}" xr6:coauthVersionLast="47" xr6:coauthVersionMax="47" xr10:uidLastSave="{00000000-0000-0000-0000-000000000000}"/>
  <bookViews>
    <workbookView xWindow="0" yWindow="500" windowWidth="27860" windowHeight="17500" xr2:uid="{00000000-000D-0000-FFFF-FFFF00000000}"/>
  </bookViews>
  <sheets>
    <sheet name="Datas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2" i="1" l="1" a="1"/>
  <c r="J2" i="1" s="1"/>
  <c r="I2" i="1" a="1"/>
  <c r="I2" i="1" s="1"/>
  <c r="H2" i="1" a="1"/>
  <c r="H2" i="1" s="1"/>
  <c r="D52" i="1"/>
  <c r="D50" i="1"/>
  <c r="G2" i="1" a="1"/>
  <c r="G2" i="1" s="1"/>
  <c r="D48" i="1"/>
  <c r="D46" i="1"/>
  <c r="D44" i="1"/>
  <c r="D42" i="1"/>
  <c r="D4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<sst xmlns="http://schemas.openxmlformats.org/spreadsheetml/2006/main" count="153" uniqueCount="104">
  <si>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</si>
  <si>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</si>
  <si>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</si>
  <si>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</si>
  <si>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</si>
  <si>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</si>
  <si>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</si>
  <si>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</si>
  <si>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</si>
  <si>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</si>
  <si>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</si>
  <si>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</si>
  <si>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</si>
  <si>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</si>
  <si>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</si>
  <si>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</si>
  <si>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</si>
  <si>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</si>
  <si>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</si>
  <si>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</si>
  <si>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</si>
  <si>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</si>
  <si>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</si>
  <si>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</si>
  <si>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</si>
  <si>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</si>
  <si>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</si>
  <si>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</si>
  <si>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</si>
  <si>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</si>
  <si>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</si>
  <si>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</si>
  <si>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</si>
  <si>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</si>
  <si>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</si>
  <si>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</si>
  <si>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</si>
  <si>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</si>
  <si>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</si>
  <si>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</si>
  <si>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</si>
  <si>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</si>
  <si>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</si>
  <si>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</si>
  <si>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</si>
  <si>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</si>
  <si>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</si>
  <si>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</si>
  <si>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</si>
  <si>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</si>
  <si>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</si>
  <si>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</si>
  <si>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</si>
  <si>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</si>
  <si>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</si>
  <si>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</si>
  <si>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</si>
  <si>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</si>
  <si>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</si>
  <si>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</si>
  <si>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</si>
  <si>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</si>
  <si>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</si>
  <si>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</si>
  <si>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</si>
  <si>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</si>
  <si>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</si>
  <si>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</si>
  <si>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</si>
  <si>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</si>
  <si>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</si>
  <si>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</si>
  <si>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</si>
  <si>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</si>
  <si>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</si>
  <si>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</si>
  <si>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</si>
  <si>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</si>
  <si>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</si>
  <si>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</si>
  <si>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</si>
  <si>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</si>
  <si>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</si>
  <si>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</si>
  <si>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</si>
  <si>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</si>
  <si>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</si>
  <si>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</si>
  <si>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</si>
  <si>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</si>
  <si>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</si>
  <si>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</si>
  <si>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</si>
  <si>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PRODUCT</t>
  </si>
  <si>
    <t>HOW MANY PRODUCT EXISTS</t>
  </si>
  <si>
    <t>AVERAGE PRICE OF PRODUCT</t>
  </si>
  <si>
    <t>MAXIMUM PRICE</t>
  </si>
  <si>
    <t>MINIMUM PRICE</t>
  </si>
  <si>
    <t>PRICE RANGE</t>
  </si>
  <si>
    <t>TOTAL PRICE OF ELECTRONIC</t>
  </si>
  <si>
    <t>PRICE LESS THAN 100</t>
  </si>
  <si>
    <t>Day</t>
  </si>
  <si>
    <t>Country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</si>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</sst>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selection activeCell="J3" sqref="J3"/>
    </sheetView>
  </sheetViews>
  <sheetFormatPr baseColWidth="10" defaultColWidth="12.6640625" defaultRowHeight="15" customHeight="1" x14ac:dyDescent="0.15"/>
  <cols>
    <col min="2" max="2" width="14.1640625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98</v>
      </c>
      <c r="H1" s="1" t="s">
        <v>101</v>
      </c>
      <c r="I1" s="1" t="s">
        <v>102</v>
      </c>
      <c r="J1" s="1" t="s">
        <v>103</v>
      </c>
      <c r="K1" s="2"/>
    </row>
    <row r="2" spans="1:11" ht="15.75" customHeight="1" x14ac:dyDescent="0.1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 t="str" cm="1">
        <f t="array" ref="G2:G35">IF(D2:D35&gt;=500,"High price","Standard price")</f>
        <v>High price</v>
      </c>
      <c r="H2" s="3" t="str" cm="1">
        <f t="array" ref="H2:H35">LEFT(A2:A35,2)</f>
        <v>28</v>
      </c>
      <c r="I2" s="3" t="str" cm="1">
        <f t="array" ref="I2:I35">RIGHT(A2:A35,2)</f>
        <v>US</v>
      </c>
      <c r="J2" s="3" t="str" cm="1">
        <f t="array" ref="J2:J35">MID(A2:A35,4,6)</f>
        <v>JAN-US</v>
      </c>
      <c r="K2" s="3"/>
    </row>
    <row r="3" spans="1:11" ht="15.75" customHeight="1" x14ac:dyDescent="0.1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4" t="str">
        <v>Standard price</v>
      </c>
      <c r="H3" s="4" t="str">
        <v>15</v>
      </c>
      <c r="I3" s="4" t="str">
        <v>US</v>
      </c>
      <c r="J3" s="4" t="str">
        <v>FEB-US</v>
      </c>
      <c r="K3" s="3"/>
    </row>
    <row r="4" spans="1:11" ht="15.75" customHeight="1" x14ac:dyDescent="0.1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 t="str">
        <v>Standard price</v>
      </c>
      <c r="H4" s="3" t="str">
        <v>03</v>
      </c>
      <c r="I4" s="3" t="str">
        <v>US</v>
      </c>
      <c r="J4" s="3" t="str">
        <v>MAR-US</v>
      </c>
      <c r="K4" s="3"/>
    </row>
    <row r="5" spans="1:11" ht="15.75" customHeight="1" x14ac:dyDescent="0.1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4" t="str">
        <v>High price</v>
      </c>
      <c r="H5" s="4" t="str">
        <v>11</v>
      </c>
      <c r="I5" s="4" t="str">
        <v>US</v>
      </c>
      <c r="J5" s="4" t="str">
        <v>APR-US</v>
      </c>
      <c r="K5" s="3"/>
    </row>
    <row r="6" spans="1:11" ht="15.75" customHeight="1" x14ac:dyDescent="0.1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 t="str">
        <v>Standard price</v>
      </c>
      <c r="H6" s="3" t="str">
        <v>22</v>
      </c>
      <c r="I6" s="3" t="str">
        <v>US</v>
      </c>
      <c r="J6" s="3" t="str">
        <v>MAY-US</v>
      </c>
      <c r="K6" s="3"/>
    </row>
    <row r="7" spans="1:11" ht="15.75" customHeight="1" x14ac:dyDescent="0.1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4" t="str">
        <v>Standard price</v>
      </c>
      <c r="H7" s="4" t="str">
        <v>07</v>
      </c>
      <c r="I7" s="4" t="str">
        <v>UK</v>
      </c>
      <c r="J7" s="4" t="str">
        <v>JUN-UK</v>
      </c>
      <c r="K7" s="3"/>
    </row>
    <row r="8" spans="1:11" ht="15.75" customHeight="1" x14ac:dyDescent="0.1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 t="str">
        <v>Standard price</v>
      </c>
      <c r="H8" s="3" t="str">
        <v>19</v>
      </c>
      <c r="I8" s="3" t="str">
        <v>UK</v>
      </c>
      <c r="J8" s="3" t="str">
        <v>JUL-UK</v>
      </c>
      <c r="K8" s="3"/>
    </row>
    <row r="9" spans="1:11" ht="15.75" customHeight="1" x14ac:dyDescent="0.1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4" t="str">
        <v>Standard price</v>
      </c>
      <c r="H9" s="4" t="str">
        <v>23</v>
      </c>
      <c r="I9" s="4" t="str">
        <v>UK</v>
      </c>
      <c r="J9" s="4" t="str">
        <v>AUG-UK</v>
      </c>
      <c r="K9" s="3"/>
    </row>
    <row r="10" spans="1:11" ht="15.75" customHeight="1" x14ac:dyDescent="0.1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 t="str">
        <v>High price</v>
      </c>
      <c r="H10" s="3" t="str">
        <v>05</v>
      </c>
      <c r="I10" s="3" t="str">
        <v>UK</v>
      </c>
      <c r="J10" s="3" t="str">
        <v>SEP-UK</v>
      </c>
      <c r="K10" s="3"/>
    </row>
    <row r="11" spans="1:11" ht="15.75" customHeight="1" x14ac:dyDescent="0.1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4" t="str">
        <v>Standard price</v>
      </c>
      <c r="H11" s="4" t="str">
        <v>14</v>
      </c>
      <c r="I11" s="4" t="str">
        <v>UK</v>
      </c>
      <c r="J11" s="4" t="str">
        <v>OCT-UK</v>
      </c>
      <c r="K11" s="3"/>
    </row>
    <row r="12" spans="1:11" ht="15.75" customHeight="1" x14ac:dyDescent="0.1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 t="str">
        <v>High price</v>
      </c>
      <c r="H12" s="3" t="str">
        <v>17</v>
      </c>
      <c r="I12" s="3" t="str">
        <v>IN</v>
      </c>
      <c r="J12" s="3" t="str">
        <v>JUN-IN</v>
      </c>
      <c r="K12" s="3"/>
    </row>
    <row r="13" spans="1:11" ht="15.75" customHeight="1" x14ac:dyDescent="0.1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4" t="str">
        <v>Standard price</v>
      </c>
      <c r="H13" s="4" t="str">
        <v>25</v>
      </c>
      <c r="I13" s="4" t="str">
        <v>AU</v>
      </c>
      <c r="J13" s="4" t="str">
        <v>NOV-AU</v>
      </c>
      <c r="K13" s="3"/>
    </row>
    <row r="14" spans="1:11" ht="15.75" customHeight="1" x14ac:dyDescent="0.1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 t="str">
        <v>Standard price</v>
      </c>
      <c r="H14" s="3" t="str">
        <v>08</v>
      </c>
      <c r="I14" s="3" t="str">
        <v>DE</v>
      </c>
      <c r="J14" s="3" t="str">
        <v>DEC-DE</v>
      </c>
      <c r="K14" s="3"/>
    </row>
    <row r="15" spans="1:11" ht="15.75" customHeight="1" x14ac:dyDescent="0.1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4" t="str">
        <v>Standard price</v>
      </c>
      <c r="H15" s="4" t="str">
        <v>18</v>
      </c>
      <c r="I15" s="4" t="str">
        <v>CA</v>
      </c>
      <c r="J15" s="4" t="str">
        <v>FEB-CA</v>
      </c>
      <c r="K15" s="3"/>
    </row>
    <row r="16" spans="1:11" ht="15.75" customHeight="1" x14ac:dyDescent="0.1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 t="str">
        <v>Standard price</v>
      </c>
      <c r="H16" s="3" t="str">
        <v>16</v>
      </c>
      <c r="I16" s="3" t="str">
        <v>ES</v>
      </c>
      <c r="J16" s="3" t="str">
        <v>APR-ES</v>
      </c>
      <c r="K16" s="3"/>
    </row>
    <row r="17" spans="1:11" ht="15.75" customHeight="1" x14ac:dyDescent="0.1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4" t="str">
        <v>Standard price</v>
      </c>
      <c r="H17" s="4" t="str">
        <v>21</v>
      </c>
      <c r="I17" s="4" t="str">
        <v>CA</v>
      </c>
      <c r="J17" s="4" t="str">
        <v>AUG-CA</v>
      </c>
      <c r="K17" s="3"/>
    </row>
    <row r="18" spans="1:11" ht="15.75" customHeight="1" x14ac:dyDescent="0.1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 t="str">
        <v>Standard price</v>
      </c>
      <c r="H18" s="3" t="str">
        <v>20</v>
      </c>
      <c r="I18" s="3" t="str">
        <v>CN</v>
      </c>
      <c r="J18" s="3" t="str">
        <v>AUG-CN</v>
      </c>
      <c r="K18" s="3"/>
    </row>
    <row r="19" spans="1:11" ht="15.75" customHeight="1" x14ac:dyDescent="0.1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4" t="str">
        <v>High price</v>
      </c>
      <c r="H19" s="4" t="str">
        <v>27</v>
      </c>
      <c r="I19" s="4" t="str">
        <v>IT</v>
      </c>
      <c r="J19" s="4" t="str">
        <v>JAN-IT</v>
      </c>
      <c r="K19" s="3"/>
    </row>
    <row r="20" spans="1:11" ht="15.75" customHeight="1" x14ac:dyDescent="0.1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 t="str">
        <v>Standard price</v>
      </c>
      <c r="H20" s="3" t="str">
        <v>01</v>
      </c>
      <c r="I20" s="3" t="str">
        <v>UK</v>
      </c>
      <c r="J20" s="3" t="str">
        <v>MAR-UK</v>
      </c>
      <c r="K20" s="3"/>
    </row>
    <row r="21" spans="1:11" ht="15.75" customHeight="1" x14ac:dyDescent="0.1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4" t="str">
        <v>Standard price</v>
      </c>
      <c r="H21" s="4" t="str">
        <v>14</v>
      </c>
      <c r="I21" s="4" t="str">
        <v>US</v>
      </c>
      <c r="J21" s="4" t="str">
        <v>AUG-US</v>
      </c>
      <c r="K21" s="3"/>
    </row>
    <row r="22" spans="1:11" ht="15.75" customHeight="1" x14ac:dyDescent="0.1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 t="str">
        <v>High price</v>
      </c>
      <c r="H22" s="3" t="str">
        <v>14</v>
      </c>
      <c r="I22" s="3" t="str">
        <v>RU</v>
      </c>
      <c r="J22" s="3" t="str">
        <v>MAY-RU</v>
      </c>
      <c r="K22" s="3"/>
    </row>
    <row r="23" spans="1:11" ht="15.75" customHeight="1" x14ac:dyDescent="0.1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4" t="str">
        <v>Standard price</v>
      </c>
      <c r="H23" s="4" t="str">
        <v>09</v>
      </c>
      <c r="I23" s="4" t="str">
        <v>CA</v>
      </c>
      <c r="J23" s="4" t="str">
        <v>JAN-CA</v>
      </c>
      <c r="K23" s="3"/>
    </row>
    <row r="24" spans="1:11" ht="15.75" customHeight="1" x14ac:dyDescent="0.1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 t="str">
        <v>Standard price</v>
      </c>
      <c r="H24" s="3" t="str">
        <v>19</v>
      </c>
      <c r="I24" s="3" t="str">
        <v>BR</v>
      </c>
      <c r="J24" s="3" t="str">
        <v>JUL-BR</v>
      </c>
      <c r="K24" s="3"/>
    </row>
    <row r="25" spans="1:11" ht="15.75" customHeight="1" x14ac:dyDescent="0.1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4" t="str">
        <v>Standard price</v>
      </c>
      <c r="H25" s="4" t="str">
        <v>21</v>
      </c>
      <c r="I25" s="4" t="str">
        <v>CA</v>
      </c>
      <c r="J25" s="4" t="str">
        <v>AUG-CA</v>
      </c>
      <c r="K25" s="5"/>
    </row>
    <row r="26" spans="1:11" ht="15.75" customHeight="1" x14ac:dyDescent="0.1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 t="str">
        <v>High price</v>
      </c>
      <c r="H26" s="3" t="str">
        <v>29</v>
      </c>
      <c r="I26" s="3" t="str">
        <v>CA</v>
      </c>
      <c r="J26" s="3" t="str">
        <v>SEP-CA</v>
      </c>
      <c r="K26" s="3"/>
    </row>
    <row r="27" spans="1:11" ht="15.75" customHeight="1" x14ac:dyDescent="0.1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4" t="str">
        <v>Standard price</v>
      </c>
      <c r="H27" s="4" t="str">
        <v>03</v>
      </c>
      <c r="I27" s="4" t="str">
        <v>CA</v>
      </c>
      <c r="J27" s="4" t="str">
        <v>JUN-CA</v>
      </c>
      <c r="K27" s="3"/>
    </row>
    <row r="28" spans="1:11" ht="15.75" customHeight="1" x14ac:dyDescent="0.1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 t="str">
        <v>Standard price</v>
      </c>
      <c r="H28" s="3" t="str">
        <v>11</v>
      </c>
      <c r="I28" s="3" t="str">
        <v>CA</v>
      </c>
      <c r="J28" s="3" t="str">
        <v>JUL-CA</v>
      </c>
      <c r="K28" s="3"/>
    </row>
    <row r="29" spans="1:11" ht="15.75" customHeight="1" x14ac:dyDescent="0.1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4" t="str">
        <v>Standard price</v>
      </c>
      <c r="H29" s="4" t="str">
        <v>16</v>
      </c>
      <c r="I29" s="4" t="str">
        <v>ES</v>
      </c>
      <c r="J29" s="4" t="str">
        <v>APR-ES</v>
      </c>
      <c r="K29" s="5"/>
    </row>
    <row r="30" spans="1:11" ht="15.75" customHeight="1" x14ac:dyDescent="0.1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 t="str">
        <v>Standard price</v>
      </c>
      <c r="H30" s="3" t="str">
        <v>07</v>
      </c>
      <c r="I30" s="3" t="str">
        <v>CA</v>
      </c>
      <c r="J30" s="3" t="str">
        <v>MAR-CA</v>
      </c>
      <c r="K30" s="3"/>
    </row>
    <row r="31" spans="1:11" ht="15.75" customHeight="1" x14ac:dyDescent="0.1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4" t="str">
        <v>Standard price</v>
      </c>
      <c r="H31" s="4" t="str">
        <v>13</v>
      </c>
      <c r="I31" s="4" t="str">
        <v>CA</v>
      </c>
      <c r="J31" s="4" t="str">
        <v>APR-CA</v>
      </c>
      <c r="K31" s="3"/>
    </row>
    <row r="32" spans="1:11" ht="15.75" customHeight="1" x14ac:dyDescent="0.1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 t="str">
        <v>Standard price</v>
      </c>
      <c r="H32" s="3" t="str">
        <v>24</v>
      </c>
      <c r="I32" s="3" t="str">
        <v>CA</v>
      </c>
      <c r="J32" s="3" t="str">
        <v>MAY-CA</v>
      </c>
      <c r="K32" s="3"/>
    </row>
    <row r="33" spans="1:11" ht="15.75" customHeight="1" x14ac:dyDescent="0.1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4" t="str">
        <v>Standard price</v>
      </c>
      <c r="H33" s="4" t="str">
        <v>02</v>
      </c>
      <c r="I33" s="4" t="str">
        <v>CA</v>
      </c>
      <c r="J33" s="4" t="str">
        <v>DEC-CA</v>
      </c>
      <c r="K33" s="3"/>
    </row>
    <row r="34" spans="1:11" ht="15.75" customHeight="1" x14ac:dyDescent="0.1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 t="str">
        <v>High price</v>
      </c>
      <c r="H34" s="3" t="str">
        <v>17</v>
      </c>
      <c r="I34" s="3" t="str">
        <v>IN</v>
      </c>
      <c r="J34" s="3" t="str">
        <v>JUN-IN</v>
      </c>
      <c r="K34" s="3"/>
    </row>
    <row r="35" spans="1:11" ht="15.75" customHeight="1" x14ac:dyDescent="0.1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4" t="str">
        <v>Standard price</v>
      </c>
      <c r="H35" s="4" t="str">
        <v>09</v>
      </c>
      <c r="I35" s="4" t="str">
        <v>FR</v>
      </c>
      <c r="J35" s="4" t="str">
        <v>JUL-FR</v>
      </c>
      <c r="K35" s="3"/>
    </row>
    <row r="36" spans="1:11" ht="15.75" customHeight="1" x14ac:dyDescent="0.15"/>
    <row r="37" spans="1:11" ht="15.75" customHeight="1" x14ac:dyDescent="0.15"/>
    <row r="38" spans="1:11" ht="15.75" customHeight="1" x14ac:dyDescent="0.15"/>
    <row r="39" spans="1:11" ht="15.75" customHeight="1" x14ac:dyDescent="0.15"/>
    <row r="40" spans="1:11" ht="15.75" customHeight="1" x14ac:dyDescent="0.15">
      <c r="A40" s="6" t="s">
        <v>93</v>
      </c>
      <c r="D40">
        <f>SUM(D2:D35)</f>
        <v>10100</v>
      </c>
    </row>
    <row r="41" spans="1:11" ht="15.75" customHeight="1" x14ac:dyDescent="0.15"/>
    <row r="42" spans="1:11" ht="15.75" customHeight="1" x14ac:dyDescent="0.15">
      <c r="A42" s="6" t="s">
        <v>94</v>
      </c>
      <c r="D42">
        <f>COUNT(D2:D35)</f>
        <v>34</v>
      </c>
    </row>
    <row r="43" spans="1:11" ht="15.75" customHeight="1" x14ac:dyDescent="0.15"/>
    <row r="44" spans="1:11" ht="15.75" customHeight="1" x14ac:dyDescent="0.15">
      <c r="A44" s="6" t="s">
        <v>95</v>
      </c>
      <c r="D44">
        <f>AVERAGE(D2:D35)</f>
        <v>297.05882352941177</v>
      </c>
    </row>
    <row r="45" spans="1:11" ht="15.75" customHeight="1" x14ac:dyDescent="0.15"/>
    <row r="46" spans="1:11" ht="15.75" customHeight="1" x14ac:dyDescent="0.15">
      <c r="A46" s="6" t="s">
        <v>96</v>
      </c>
      <c r="D46">
        <f>MAX(D2:D36)</f>
        <v>1000</v>
      </c>
    </row>
    <row r="47" spans="1:11" ht="15.75" customHeight="1" x14ac:dyDescent="0.15"/>
    <row r="48" spans="1:11" ht="15.75" customHeight="1" x14ac:dyDescent="0.15">
      <c r="A48" s="6" t="s">
        <v>97</v>
      </c>
      <c r="D48">
        <f>MIN(D2:D35)</f>
        <v>30</v>
      </c>
    </row>
    <row r="49" spans="1:4" ht="15.75" customHeight="1" x14ac:dyDescent="0.15"/>
    <row r="50" spans="1:4" ht="15.75" customHeight="1" x14ac:dyDescent="0.15">
      <c r="A50" s="6" t="s">
        <v>99</v>
      </c>
      <c r="D50">
        <f>SUMIF(F2:F35,"Electronics",D2:D36)</f>
        <v>8050</v>
      </c>
    </row>
    <row r="51" spans="1:4" ht="15.75" customHeight="1" x14ac:dyDescent="0.15"/>
    <row r="52" spans="1:4" ht="15.75" customHeight="1" x14ac:dyDescent="0.15">
      <c r="A52" s="6" t="s">
        <v>100</v>
      </c>
      <c r="D52">
        <f>COUNTIF(D2:D35,"&lt;100")</f>
        <v>11</v>
      </c>
    </row>
    <row r="53" spans="1:4" ht="15.75" customHeight="1" x14ac:dyDescent="0.15"/>
    <row r="54" spans="1:4" ht="15.75" customHeight="1" x14ac:dyDescent="0.15"/>
    <row r="55" spans="1:4" ht="15.75" customHeight="1" x14ac:dyDescent="0.15"/>
    <row r="56" spans="1:4" ht="15.75" customHeight="1" x14ac:dyDescent="0.15"/>
    <row r="57" spans="1:4" ht="15.75" customHeight="1" x14ac:dyDescent="0.15"/>
    <row r="58" spans="1:4" ht="15.75" customHeight="1" x14ac:dyDescent="0.15"/>
    <row r="59" spans="1:4" ht="15.75" customHeight="1" x14ac:dyDescent="0.15"/>
    <row r="60" spans="1:4" ht="15.75" customHeight="1" x14ac:dyDescent="0.15"/>
    <row r="61" spans="1:4" ht="15.75" customHeight="1" x14ac:dyDescent="0.15"/>
    <row r="62" spans="1:4" ht="15.75" customHeight="1" x14ac:dyDescent="0.15"/>
    <row r="63" spans="1:4" ht="15.75" customHeight="1" x14ac:dyDescent="0.15"/>
    <row r="64" spans="1: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Hilarudeen Allaudeen</cp:lastModifiedBy>
  <dcterms:created xsi:type="dcterms:W3CDTF">2026-04-27T10:01:30Z</dcterms:created>
  <dcterms:modified xsi:type="dcterms:W3CDTF">2026-04-27T10:01:30Z</dcterms:modified>
</cp:coreProperties>
</file>